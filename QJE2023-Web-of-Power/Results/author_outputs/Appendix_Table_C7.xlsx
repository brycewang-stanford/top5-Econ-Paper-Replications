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XiangJun\FinalFiles\Replication\Results\"/>
    </mc:Choice>
  </mc:AlternateContent>
  <bookViews>
    <workbookView xWindow="0" yWindow="0" windowWidth="17190" windowHeight="9465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J9" i="1" s="1"/>
  <c r="F14" i="1"/>
  <c r="F13" i="1"/>
  <c r="F12" i="1"/>
  <c r="F11" i="1"/>
  <c r="F10" i="1"/>
  <c r="F9" i="1"/>
  <c r="G9" i="1" s="1"/>
  <c r="C14" i="1"/>
  <c r="C13" i="1"/>
  <c r="C12" i="1"/>
  <c r="C11" i="1"/>
  <c r="C10" i="1"/>
  <c r="C9" i="1"/>
  <c r="G13" i="1" l="1"/>
  <c r="J13" i="1"/>
  <c r="G14" i="1"/>
  <c r="J14" i="1"/>
  <c r="G10" i="1"/>
  <c r="J10" i="1"/>
  <c r="G11" i="1"/>
  <c r="J11" i="1"/>
  <c r="G12" i="1"/>
  <c r="J12" i="1"/>
</calcChain>
</file>

<file path=xl/sharedStrings.xml><?xml version="1.0" encoding="utf-8"?>
<sst xmlns="http://schemas.openxmlformats.org/spreadsheetml/2006/main" count="26" uniqueCount="25">
  <si>
    <t>Real</t>
  </si>
  <si>
    <t>1820-29</t>
  </si>
  <si>
    <t>1830-39</t>
  </si>
  <si>
    <t>1840-49</t>
  </si>
  <si>
    <t>1850-59</t>
  </si>
  <si>
    <t>1860-69</t>
  </si>
  <si>
    <t>1870-79</t>
  </si>
  <si>
    <t>1880-89</t>
  </si>
  <si>
    <t>1891-99</t>
  </si>
  <si>
    <t>1900-09</t>
  </si>
  <si>
    <t xml:space="preserve">Counterfactual: net the effect of </t>
  </si>
  <si>
    <t>Hunan*connections</t>
  </si>
  <si>
    <t>soldier death</t>
  </si>
  <si>
    <t>(1) EG index</t>
  </si>
  <si>
    <t>(2) Change</t>
  </si>
  <si>
    <t>(3) EG index</t>
  </si>
  <si>
    <t>(4) Change</t>
  </si>
  <si>
    <t>(6) EG index</t>
  </si>
  <si>
    <t>(7) Change</t>
  </si>
  <si>
    <t xml:space="preserve">(6) The role of </t>
  </si>
  <si>
    <t xml:space="preserve">(8) The role of </t>
  </si>
  <si>
    <t>soldier deaths</t>
  </si>
  <si>
    <t>1-(4)/(2)</t>
  </si>
  <si>
    <t>1-(7)/(2)</t>
  </si>
  <si>
    <t>The red parts were generated by Programs\Appendix_Table_C7.do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</si>
</sst>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tabSelected="1" workbookViewId="0">
      <selection activeCell="G25" sqref="G25"/>
    </sheetView>
  </sheetViews>
  <sheetFormatPr defaultRowHeight="15" x14ac:dyDescent="0.25"/>
  <cols>
    <col min="1" max="1" width="7.7109375" bestFit="1" customWidth="1"/>
    <col min="2" max="2" width="11.5703125" bestFit="1" customWidth="1"/>
    <col min="3" max="3" width="10.42578125" bestFit="1" customWidth="1"/>
    <col min="4" max="4" width="4.28515625" customWidth="1"/>
    <col min="5" max="5" width="11.5703125" bestFit="1" customWidth="1"/>
    <col min="6" max="6" width="10.42578125" bestFit="1" customWidth="1"/>
    <col min="7" max="7" width="18.7109375" bestFit="1" customWidth="1"/>
    <col min="8" max="8" width="11.5703125" bestFit="1" customWidth="1"/>
    <col min="9" max="9" width="10.42578125" bestFit="1" customWidth="1"/>
    <col min="10" max="10" width="14" bestFit="1" customWidth="1"/>
  </cols>
  <sheetData>
    <row r="1" spans="1:10" x14ac:dyDescent="0.25">
      <c r="B1" s="5" t="s">
        <v>0</v>
      </c>
      <c r="C1" s="5"/>
      <c r="E1" s="5" t="s">
        <v>10</v>
      </c>
      <c r="F1" s="5"/>
      <c r="G1" s="5"/>
      <c r="H1" s="5"/>
      <c r="I1" s="5"/>
      <c r="J1" s="5"/>
    </row>
    <row r="2" spans="1:10" x14ac:dyDescent="0.25">
      <c r="E2" s="5" t="s">
        <v>11</v>
      </c>
      <c r="F2" s="5"/>
      <c r="G2" s="5"/>
      <c r="H2" s="5" t="s">
        <v>12</v>
      </c>
      <c r="I2" s="5"/>
      <c r="J2" s="5"/>
    </row>
    <row r="3" spans="1:10" x14ac:dyDescent="0.25">
      <c r="B3" t="s">
        <v>13</v>
      </c>
      <c r="C3" t="s">
        <v>14</v>
      </c>
      <c r="E3" t="s">
        <v>15</v>
      </c>
      <c r="F3" t="s">
        <v>16</v>
      </c>
      <c r="G3" s="1" t="s">
        <v>19</v>
      </c>
      <c r="H3" t="s">
        <v>17</v>
      </c>
      <c r="I3" t="s">
        <v>18</v>
      </c>
      <c r="J3" s="1" t="s">
        <v>20</v>
      </c>
    </row>
    <row r="4" spans="1:10" x14ac:dyDescent="0.25">
      <c r="G4" s="1" t="s">
        <v>11</v>
      </c>
      <c r="J4" s="1" t="s">
        <v>21</v>
      </c>
    </row>
    <row r="5" spans="1:10" x14ac:dyDescent="0.25">
      <c r="G5" s="1" t="s">
        <v>22</v>
      </c>
      <c r="J5" s="1" t="s">
        <v>23</v>
      </c>
    </row>
    <row r="6" spans="1:10" x14ac:dyDescent="0.25">
      <c r="A6" s="1" t="s">
        <v>1</v>
      </c>
      <c r="B6" s="6">
        <v>9.6787000000000002E-3</v>
      </c>
      <c r="C6" s="2"/>
      <c r="D6" s="2"/>
      <c r="E6" s="6">
        <v>9.7987000000000005E-3</v>
      </c>
      <c r="F6" s="2"/>
      <c r="G6" s="2"/>
      <c r="H6" s="2">
        <v>9.6769999999999998E-3</v>
      </c>
    </row>
    <row r="7" spans="1:10" x14ac:dyDescent="0.25">
      <c r="A7" s="1" t="s">
        <v>2</v>
      </c>
      <c r="B7" s="6">
        <v>1.1076600000000001E-2</v>
      </c>
      <c r="C7" s="2"/>
      <c r="D7" s="2"/>
      <c r="E7" s="6">
        <v>1.11667E-2</v>
      </c>
      <c r="F7" s="2"/>
      <c r="G7" s="2"/>
      <c r="H7" s="2">
        <v>1.1102600000000001E-2</v>
      </c>
    </row>
    <row r="8" spans="1:10" x14ac:dyDescent="0.25">
      <c r="A8" s="1" t="s">
        <v>3</v>
      </c>
      <c r="B8" s="6">
        <v>1.39749E-2</v>
      </c>
      <c r="C8" s="2"/>
      <c r="D8" s="2"/>
      <c r="E8" s="6">
        <v>1.4309000000000001E-2</v>
      </c>
      <c r="F8" s="2"/>
      <c r="G8" s="2"/>
      <c r="H8" s="2">
        <v>1.4274500000000001E-2</v>
      </c>
    </row>
    <row r="9" spans="1:10" x14ac:dyDescent="0.25">
      <c r="A9" s="1" t="s">
        <v>4</v>
      </c>
      <c r="B9" s="6">
        <v>1.49146E-2</v>
      </c>
      <c r="C9" s="2">
        <f t="shared" ref="C9:C14" si="0">B9-B$8</f>
        <v>9.3969999999999991E-4</v>
      </c>
      <c r="D9" s="2"/>
      <c r="E9" s="6">
        <v>1.49491E-2</v>
      </c>
      <c r="F9" s="2">
        <f t="shared" ref="F9:F14" si="1">E9-E$8</f>
        <v>6.4009999999999935E-4</v>
      </c>
      <c r="G9" s="3">
        <f t="shared" ref="G9:G14" si="2">100*(1-F9/C9)</f>
        <v>31.882515696498949</v>
      </c>
      <c r="H9" s="2">
        <v>1.4824199999999999E-2</v>
      </c>
      <c r="I9" s="2">
        <f>H9-H$8</f>
        <v>5.4969999999999845E-4</v>
      </c>
      <c r="J9" s="4">
        <f t="shared" ref="J9:J14" si="3">100*(1-I9/C9)</f>
        <v>41.502607215068799</v>
      </c>
    </row>
    <row r="10" spans="1:10" x14ac:dyDescent="0.25">
      <c r="A10" s="1" t="s">
        <v>5</v>
      </c>
      <c r="B10" s="6">
        <v>2.8949099999999998E-2</v>
      </c>
      <c r="C10" s="2">
        <f t="shared" si="0"/>
        <v>1.4974199999999998E-2</v>
      </c>
      <c r="D10" s="2"/>
      <c r="E10" s="6">
        <v>1.4056000000000001E-2</v>
      </c>
      <c r="F10" s="2">
        <f t="shared" si="1"/>
        <v>-2.5299999999999975E-4</v>
      </c>
      <c r="G10" s="3">
        <f t="shared" si="2"/>
        <v>101.68957273176531</v>
      </c>
      <c r="H10" s="2">
        <v>1.6287800000000002E-2</v>
      </c>
      <c r="I10" s="2">
        <f t="shared" ref="I10" si="4">H10-H$8</f>
        <v>2.0133000000000009E-3</v>
      </c>
      <c r="J10" s="4">
        <f t="shared" si="3"/>
        <v>86.554874383940373</v>
      </c>
    </row>
    <row r="11" spans="1:10" x14ac:dyDescent="0.25">
      <c r="A11" s="1" t="s">
        <v>6</v>
      </c>
      <c r="B11" s="6">
        <v>2.6165899999999999E-2</v>
      </c>
      <c r="C11" s="2">
        <f t="shared" si="0"/>
        <v>1.2190999999999999E-2</v>
      </c>
      <c r="D11" s="2"/>
      <c r="E11" s="6">
        <v>2.06211E-2</v>
      </c>
      <c r="F11" s="2">
        <f t="shared" si="1"/>
        <v>6.3120999999999993E-3</v>
      </c>
      <c r="G11" s="3">
        <f t="shared" si="2"/>
        <v>48.223279468460348</v>
      </c>
      <c r="H11" s="2">
        <v>1.8309099999999998E-2</v>
      </c>
      <c r="I11" s="2">
        <f t="shared" ref="I11" si="5">H11-H$8</f>
        <v>4.0345999999999976E-3</v>
      </c>
      <c r="J11" s="4">
        <f t="shared" si="3"/>
        <v>66.905093921745575</v>
      </c>
    </row>
    <row r="12" spans="1:10" x14ac:dyDescent="0.25">
      <c r="A12" s="1" t="s">
        <v>7</v>
      </c>
      <c r="B12" s="6">
        <v>3.5789700000000001E-2</v>
      </c>
      <c r="C12" s="2">
        <f t="shared" si="0"/>
        <v>2.1814800000000002E-2</v>
      </c>
      <c r="D12" s="2"/>
      <c r="E12" s="6">
        <v>2.4313399999999999E-2</v>
      </c>
      <c r="F12" s="2">
        <f t="shared" si="1"/>
        <v>1.0004399999999998E-2</v>
      </c>
      <c r="G12" s="3">
        <f t="shared" si="2"/>
        <v>54.139391605698897</v>
      </c>
      <c r="H12" s="2">
        <v>2.3494000000000001E-2</v>
      </c>
      <c r="I12" s="2">
        <f t="shared" ref="I12" si="6">H12-H$8</f>
        <v>9.2195000000000003E-3</v>
      </c>
      <c r="J12" s="4">
        <f t="shared" si="3"/>
        <v>57.737407631516227</v>
      </c>
    </row>
    <row r="13" spans="1:10" x14ac:dyDescent="0.25">
      <c r="A13" s="1" t="s">
        <v>8</v>
      </c>
      <c r="B13" s="6">
        <v>2.9215100000000001E-2</v>
      </c>
      <c r="C13" s="2">
        <f t="shared" si="0"/>
        <v>1.5240200000000001E-2</v>
      </c>
      <c r="D13" s="2"/>
      <c r="E13" s="6">
        <v>2.5543099999999999E-2</v>
      </c>
      <c r="F13" s="2">
        <f t="shared" si="1"/>
        <v>1.1234099999999999E-2</v>
      </c>
      <c r="G13" s="3">
        <f t="shared" si="2"/>
        <v>26.286400440939104</v>
      </c>
      <c r="H13" s="2">
        <v>2.5580800000000001E-2</v>
      </c>
      <c r="I13" s="2">
        <f t="shared" ref="I13" si="7">H13-H$8</f>
        <v>1.13063E-2</v>
      </c>
      <c r="J13" s="4">
        <f t="shared" si="3"/>
        <v>25.812653377252271</v>
      </c>
    </row>
    <row r="14" spans="1:10" x14ac:dyDescent="0.25">
      <c r="A14" s="1" t="s">
        <v>9</v>
      </c>
      <c r="B14" s="6">
        <v>2.29293E-2</v>
      </c>
      <c r="C14" s="2">
        <f t="shared" si="0"/>
        <v>8.9543999999999995E-3</v>
      </c>
      <c r="D14" s="2"/>
      <c r="E14" s="6">
        <v>2.25314E-2</v>
      </c>
      <c r="F14" s="2">
        <f t="shared" si="1"/>
        <v>8.2223999999999995E-3</v>
      </c>
      <c r="G14" s="3">
        <f t="shared" si="2"/>
        <v>8.1747520771911049</v>
      </c>
      <c r="H14" s="2">
        <v>2.2330699999999998E-2</v>
      </c>
      <c r="I14" s="2">
        <f t="shared" ref="I14" si="8">H14-H$8</f>
        <v>8.0561999999999977E-3</v>
      </c>
      <c r="J14" s="4">
        <f t="shared" si="3"/>
        <v>10.030822835700903</v>
      </c>
    </row>
    <row r="17" spans="2:2" x14ac:dyDescent="0.25">
      <c r="B17" s="7" t="s">
        <v>24</v>
      </c>
    </row>
  </sheetData>
  <mergeCells count="4">
    <mergeCell ref="B1:C1"/>
    <mergeCell ref="E1:J1"/>
    <mergeCell ref="E2:G2"/>
    <mergeCell ref="H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EconUser</dc:creator>
  <cp:lastModifiedBy>EconUser</cp:lastModifiedBy>
  <dcterms:created xsi:type="dcterms:W3CDTF">2022-05-18T06:57:03Z</dcterms:created>
  <dcterms:modified xsi:type="dcterms:W3CDTF">2022-09-30T02:19:18Z</dcterms:modified>
</cp:coreProperties>
</file>