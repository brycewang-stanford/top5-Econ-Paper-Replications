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gjhe\Dropbox\Projects\Environment_and_Development\Codes\QJE_RR\Replication\T8_Cost\"/>
    </mc:Choice>
  </mc:AlternateContent>
  <xr:revisionPtr revIDLastSave="0" documentId="13_ncr:1_{5FEE77CB-7A73-4E07-AAB7-AB6C883F6DEF}" xr6:coauthVersionLast="45" xr6:coauthVersionMax="45" xr10:uidLastSave="{00000000-0000-0000-0000-000000000000}"/>
  <bookViews>
    <workbookView xWindow="6405" yWindow="930" windowWidth="21150" windowHeight="15960" xr2:uid="{00000000-000D-0000-FFFF-FFFF00000000}"/>
  </bookViews>
  <sheets>
    <sheet name="va_loss_00_07" sheetId="1" r:id="rId1"/>
    <sheet name="va_loss_2020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9" i="3" l="1"/>
  <c r="R9" i="3"/>
  <c r="O9" i="3"/>
  <c r="L9" i="3"/>
  <c r="I9" i="3"/>
  <c r="F9" i="3"/>
  <c r="C9" i="3"/>
  <c r="U8" i="3"/>
  <c r="R8" i="3"/>
  <c r="O8" i="3"/>
  <c r="L8" i="3"/>
  <c r="I8" i="3"/>
  <c r="J8" i="3" s="1"/>
  <c r="F8" i="3"/>
  <c r="D8" i="3"/>
  <c r="D9" i="3" s="1"/>
  <c r="E9" i="3" s="1"/>
  <c r="C8" i="3"/>
  <c r="U7" i="3"/>
  <c r="R7" i="3"/>
  <c r="O7" i="3"/>
  <c r="L7" i="3"/>
  <c r="I7" i="3"/>
  <c r="F7" i="3"/>
  <c r="E7" i="3"/>
  <c r="C7" i="3"/>
  <c r="U6" i="3"/>
  <c r="R6" i="3"/>
  <c r="O6" i="3"/>
  <c r="L6" i="3"/>
  <c r="I6" i="3"/>
  <c r="F6" i="3"/>
  <c r="E6" i="3"/>
  <c r="C6" i="3"/>
  <c r="G6" i="3" s="1"/>
  <c r="H6" i="3" s="1"/>
  <c r="U5" i="3"/>
  <c r="R5" i="3"/>
  <c r="O5" i="3"/>
  <c r="L5" i="3"/>
  <c r="I5" i="3"/>
  <c r="F5" i="3"/>
  <c r="E5" i="3"/>
  <c r="C5" i="3"/>
  <c r="U11" i="1"/>
  <c r="V11" i="1" s="1"/>
  <c r="R11" i="1"/>
  <c r="S11" i="1" s="1"/>
  <c r="O11" i="1"/>
  <c r="P11" i="1" s="1"/>
  <c r="L11" i="1"/>
  <c r="M11" i="1" s="1"/>
  <c r="I11" i="1"/>
  <c r="J11" i="1" s="1"/>
  <c r="F11" i="1"/>
  <c r="G11" i="1" s="1"/>
  <c r="E11" i="1"/>
  <c r="U10" i="1"/>
  <c r="V10" i="1" s="1"/>
  <c r="R10" i="1"/>
  <c r="S10" i="1" s="1"/>
  <c r="O10" i="1"/>
  <c r="P10" i="1" s="1"/>
  <c r="L10" i="1"/>
  <c r="M10" i="1" s="1"/>
  <c r="I10" i="1"/>
  <c r="J10" i="1" s="1"/>
  <c r="F10" i="1"/>
  <c r="G10" i="1" s="1"/>
  <c r="E10" i="1"/>
  <c r="U9" i="1"/>
  <c r="V9" i="1" s="1"/>
  <c r="R9" i="1"/>
  <c r="S9" i="1" s="1"/>
  <c r="O9" i="1"/>
  <c r="P9" i="1" s="1"/>
  <c r="L9" i="1"/>
  <c r="M9" i="1" s="1"/>
  <c r="I9" i="1"/>
  <c r="J9" i="1" s="1"/>
  <c r="F9" i="1"/>
  <c r="G9" i="1" s="1"/>
  <c r="E9" i="1"/>
  <c r="U8" i="1"/>
  <c r="V8" i="1" s="1"/>
  <c r="R8" i="1"/>
  <c r="S8" i="1" s="1"/>
  <c r="O8" i="1"/>
  <c r="P8" i="1" s="1"/>
  <c r="L8" i="1"/>
  <c r="M8" i="1" s="1"/>
  <c r="I8" i="1"/>
  <c r="J8" i="1" s="1"/>
  <c r="F8" i="1"/>
  <c r="G8" i="1" s="1"/>
  <c r="E8" i="1"/>
  <c r="Q8" i="1" s="1"/>
  <c r="U7" i="1"/>
  <c r="V7" i="1" s="1"/>
  <c r="R7" i="1"/>
  <c r="S7" i="1" s="1"/>
  <c r="O7" i="1"/>
  <c r="P7" i="1" s="1"/>
  <c r="L7" i="1"/>
  <c r="M7" i="1" s="1"/>
  <c r="I7" i="1"/>
  <c r="J7" i="1" s="1"/>
  <c r="F7" i="1"/>
  <c r="G7" i="1" s="1"/>
  <c r="E7" i="1"/>
  <c r="B7" i="1"/>
  <c r="U6" i="1"/>
  <c r="V6" i="1" s="1"/>
  <c r="R6" i="1"/>
  <c r="S6" i="1" s="1"/>
  <c r="O6" i="1"/>
  <c r="P6" i="1" s="1"/>
  <c r="L6" i="1"/>
  <c r="M6" i="1" s="1"/>
  <c r="I6" i="1"/>
  <c r="J6" i="1" s="1"/>
  <c r="F6" i="1"/>
  <c r="G6" i="1" s="1"/>
  <c r="E6" i="1"/>
  <c r="U5" i="1"/>
  <c r="V5" i="1" s="1"/>
  <c r="R5" i="1"/>
  <c r="S5" i="1" s="1"/>
  <c r="O5" i="1"/>
  <c r="P5" i="1" s="1"/>
  <c r="L5" i="1"/>
  <c r="M5" i="1" s="1"/>
  <c r="I5" i="1"/>
  <c r="J5" i="1" s="1"/>
  <c r="F5" i="1"/>
  <c r="G5" i="1" s="1"/>
  <c r="E5" i="1"/>
  <c r="E4" i="1"/>
  <c r="M6" i="3" l="1"/>
  <c r="N6" i="3" s="1"/>
  <c r="P9" i="3"/>
  <c r="V7" i="3"/>
  <c r="P7" i="3"/>
  <c r="Q7" i="3" s="1"/>
  <c r="G7" i="3"/>
  <c r="S7" i="3"/>
  <c r="T7" i="3" s="1"/>
  <c r="S9" i="3"/>
  <c r="T9" i="3" s="1"/>
  <c r="P6" i="3"/>
  <c r="Q6" i="3" s="1"/>
  <c r="M8" i="3"/>
  <c r="M9" i="3"/>
  <c r="J5" i="3"/>
  <c r="K5" i="3" s="1"/>
  <c r="V5" i="3"/>
  <c r="J7" i="3"/>
  <c r="K7" i="3" s="1"/>
  <c r="J9" i="3"/>
  <c r="K9" i="3" s="1"/>
  <c r="S5" i="3"/>
  <c r="T5" i="3" s="1"/>
  <c r="M5" i="3"/>
  <c r="N5" i="3" s="1"/>
  <c r="M7" i="3"/>
  <c r="N7" i="3" s="1"/>
  <c r="S8" i="3"/>
  <c r="V8" i="3"/>
  <c r="W5" i="3"/>
  <c r="V6" i="3"/>
  <c r="W6" i="3" s="1"/>
  <c r="S6" i="3"/>
  <c r="T6" i="3" s="1"/>
  <c r="W7" i="3"/>
  <c r="P8" i="3"/>
  <c r="V9" i="3"/>
  <c r="W9" i="3" s="1"/>
  <c r="T5" i="1"/>
  <c r="Q9" i="3"/>
  <c r="N9" i="3"/>
  <c r="P5" i="3"/>
  <c r="Q5" i="3"/>
  <c r="E8" i="3"/>
  <c r="G9" i="3"/>
  <c r="H9" i="3" s="1"/>
  <c r="H7" i="3"/>
  <c r="G5" i="3"/>
  <c r="H5" i="3" s="1"/>
  <c r="J6" i="3"/>
  <c r="K6" i="3" s="1"/>
  <c r="G8" i="3"/>
  <c r="N6" i="1"/>
  <c r="N7" i="1"/>
  <c r="H5" i="1"/>
  <c r="T9" i="1"/>
  <c r="W9" i="1"/>
  <c r="H9" i="1"/>
  <c r="K8" i="1"/>
  <c r="H8" i="1"/>
  <c r="N8" i="1"/>
  <c r="W8" i="1"/>
  <c r="T10" i="1"/>
  <c r="T8" i="1"/>
  <c r="K9" i="1"/>
  <c r="N11" i="1"/>
  <c r="N9" i="1"/>
  <c r="H10" i="1"/>
  <c r="W5" i="1"/>
  <c r="K5" i="1"/>
  <c r="N5" i="1"/>
  <c r="Q5" i="1"/>
  <c r="T6" i="1"/>
  <c r="H6" i="1"/>
  <c r="W6" i="1"/>
  <c r="K6" i="1"/>
  <c r="Q6" i="1"/>
  <c r="T7" i="1"/>
  <c r="H7" i="1"/>
  <c r="W7" i="1"/>
  <c r="K7" i="1"/>
  <c r="Q7" i="1"/>
  <c r="W10" i="1"/>
  <c r="K10" i="1"/>
  <c r="N10" i="1"/>
  <c r="Q10" i="1"/>
  <c r="T11" i="1"/>
  <c r="H11" i="1"/>
  <c r="W11" i="1"/>
  <c r="K11" i="1"/>
  <c r="Q11" i="1"/>
  <c r="Q9" i="1"/>
  <c r="H12" i="1" l="1"/>
  <c r="W8" i="3"/>
  <c r="W10" i="3" s="1"/>
  <c r="K8" i="3"/>
  <c r="K10" i="3" s="1"/>
  <c r="N8" i="3"/>
  <c r="Q8" i="3"/>
  <c r="Q10" i="3" s="1"/>
  <c r="T8" i="3"/>
  <c r="T10" i="3" s="1"/>
  <c r="H8" i="3"/>
  <c r="H10" i="3" s="1"/>
  <c r="N10" i="3"/>
  <c r="T12" i="1"/>
  <c r="N12" i="1"/>
  <c r="K12" i="1"/>
  <c r="W12" i="1"/>
  <c r="Q12" i="1"/>
</calcChain>
</file>

<file path=xl/sharedStrings.xml><?xml version="1.0" encoding="utf-8"?>
<sst xmlns="http://schemas.openxmlformats.org/spreadsheetml/2006/main" count="72" uniqueCount="34">
  <si>
    <t>Year</t>
  </si>
  <si>
    <t>Extrapolated COD</t>
  </si>
  <si>
    <t>Conterfactual Reduction</t>
  </si>
  <si>
    <t>TFP loss per 1% COD (column 1)</t>
    <phoneticPr fontId="0" type="noConversion"/>
  </si>
  <si>
    <t>TFP loss in that year</t>
    <phoneticPr fontId="0" type="noConversion"/>
  </si>
  <si>
    <t>TFP loss per 1% COD (column 2)</t>
    <phoneticPr fontId="0" type="noConversion"/>
  </si>
  <si>
    <t>TFP loss per 1% COD (column 3)</t>
    <phoneticPr fontId="0" type="noConversion"/>
  </si>
  <si>
    <t>TFP loss per 1% COD (column 4)</t>
    <phoneticPr fontId="0" type="noConversion"/>
  </si>
  <si>
    <t>TFP loss per 1% COD (column 5)</t>
    <phoneticPr fontId="0" type="noConversion"/>
  </si>
  <si>
    <t>TFP loss per 1% COD (column 6)</t>
    <phoneticPr fontId="0" type="noConversion"/>
  </si>
  <si>
    <t>00-07 Sum (billion Y)</t>
    <phoneticPr fontId="0" type="noConversion"/>
  </si>
  <si>
    <t>16-20 sum (billion Y)</t>
    <phoneticPr fontId="0" type="noConversion"/>
  </si>
  <si>
    <t xml:space="preserve">Reduction (%) </t>
  </si>
  <si>
    <t>Industrial COD Emissions</t>
  </si>
  <si>
    <t>Calculation of VA loss from 2000 to 2007</t>
  </si>
  <si>
    <t xml:space="preserve">Notes: </t>
  </si>
  <si>
    <t>Column (2) Total industrial COD emisssions from 2000 to 2007</t>
  </si>
  <si>
    <t>Column (3): Reduction in COD emissions relative to 2000</t>
  </si>
  <si>
    <t>Column (5): Polluting Industries VA (Estimates)</t>
  </si>
  <si>
    <t>Column (6): TFP loss per 1% COD reduction; calculated using column (1) in Panel B of Table 1 and column (1) in Panel A of Table 5</t>
  </si>
  <si>
    <t>Column (8): VA loss in a given year</t>
  </si>
  <si>
    <t>Column (7): TFP loss in a given year</t>
  </si>
  <si>
    <t>Columns (9) to (23): Repeat the exercise from columns (6) to (8) using other RD estimates</t>
  </si>
  <si>
    <t>Row 12: Total loss in VA</t>
  </si>
  <si>
    <t>Industrial VA</t>
  </si>
  <si>
    <t>Polluting Firms' VA</t>
  </si>
  <si>
    <t>Normalized Industrial COD</t>
  </si>
  <si>
    <t>Calculation of VA loss from 2016 to 2020</t>
  </si>
  <si>
    <r>
      <t>VAloss (</t>
    </r>
    <r>
      <rPr>
        <sz val="12"/>
        <rFont val="Times New Roman"/>
        <family val="1"/>
      </rPr>
      <t>亿元</t>
    </r>
    <r>
      <rPr>
        <sz val="12"/>
        <color theme="1"/>
        <rFont val="Times New Roman"/>
        <family val="1"/>
      </rPr>
      <t>)</t>
    </r>
  </si>
  <si>
    <r>
      <t>Output loss (</t>
    </r>
    <r>
      <rPr>
        <sz val="12"/>
        <rFont val="Times New Roman"/>
        <family val="1"/>
      </rPr>
      <t>亿元</t>
    </r>
    <r>
      <rPr>
        <sz val="12"/>
        <color theme="1"/>
        <rFont val="Times New Roman"/>
        <family val="1"/>
      </rPr>
      <t>)</t>
    </r>
  </si>
  <si>
    <t>Column (3): Reduction in COD emissions relative to 2016</t>
  </si>
  <si>
    <t>Column (2) Total industrial COD emisssions from 2015 to 2020 (normalized)</t>
  </si>
  <si>
    <t>Column (4): Industrial VA; 2019 and 2020 data are estimated</t>
  </si>
  <si>
    <t>Column (4): Industrial VA (100 million yuan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</si>
</sst>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1" xfId="0" applyFont="1" applyBorder="1"/>
    <xf numFmtId="164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0" xfId="0" applyBorder="1"/>
    <xf numFmtId="0" fontId="3" fillId="0" borderId="1" xfId="0" applyFont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164" fontId="4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workbookViewId="0">
      <selection activeCell="E22" sqref="E22"/>
    </sheetView>
  </sheetViews>
  <sheetFormatPr defaultColWidth="9.140625" defaultRowHeight="15.75" x14ac:dyDescent="0.25"/>
  <cols>
    <col min="1" max="1" width="15.85546875" style="3" customWidth="1"/>
    <col min="2" max="23" width="17.7109375" style="3" customWidth="1"/>
    <col min="24" max="16384" width="9.140625" style="3"/>
  </cols>
  <sheetData>
    <row r="1" spans="1:23" x14ac:dyDescent="0.25">
      <c r="A1" s="2" t="s">
        <v>14</v>
      </c>
      <c r="B1" s="2"/>
      <c r="C1" s="2"/>
      <c r="D1" s="2"/>
      <c r="E1" s="2"/>
    </row>
    <row r="2" spans="1:23" x14ac:dyDescent="0.25">
      <c r="A2" s="15">
        <v>-1</v>
      </c>
      <c r="B2" s="15">
        <v>-2</v>
      </c>
      <c r="C2" s="15">
        <v>-3</v>
      </c>
      <c r="D2" s="15">
        <v>-4</v>
      </c>
      <c r="E2" s="15">
        <v>-5</v>
      </c>
      <c r="F2" s="15">
        <v>-6</v>
      </c>
      <c r="G2" s="15">
        <v>-7</v>
      </c>
      <c r="H2" s="15">
        <v>-8</v>
      </c>
      <c r="I2" s="15">
        <v>-9</v>
      </c>
      <c r="J2" s="15">
        <v>-10</v>
      </c>
      <c r="K2" s="15">
        <v>-11</v>
      </c>
      <c r="L2" s="15">
        <v>-12</v>
      </c>
      <c r="M2" s="15">
        <v>-13</v>
      </c>
      <c r="N2" s="15">
        <v>-14</v>
      </c>
      <c r="O2" s="15">
        <v>-15</v>
      </c>
      <c r="P2" s="15">
        <v>-16</v>
      </c>
      <c r="Q2" s="15">
        <v>-17</v>
      </c>
      <c r="R2" s="15">
        <v>-18</v>
      </c>
      <c r="S2" s="15">
        <v>-19</v>
      </c>
      <c r="T2" s="15">
        <v>-20</v>
      </c>
      <c r="U2" s="15">
        <v>-21</v>
      </c>
      <c r="V2" s="15">
        <v>-22</v>
      </c>
      <c r="W2" s="15">
        <v>-23</v>
      </c>
    </row>
    <row r="3" spans="1:23" x14ac:dyDescent="0.25">
      <c r="A3" s="4" t="s">
        <v>0</v>
      </c>
      <c r="B3" s="4" t="s">
        <v>13</v>
      </c>
      <c r="C3" s="4" t="s">
        <v>12</v>
      </c>
      <c r="D3" s="4" t="s">
        <v>24</v>
      </c>
      <c r="E3" s="7" t="s">
        <v>25</v>
      </c>
      <c r="F3" s="4" t="s">
        <v>3</v>
      </c>
      <c r="G3" s="4" t="s">
        <v>4</v>
      </c>
      <c r="H3" s="4" t="s">
        <v>28</v>
      </c>
      <c r="I3" s="4" t="s">
        <v>5</v>
      </c>
      <c r="J3" s="4" t="s">
        <v>4</v>
      </c>
      <c r="K3" s="4" t="s">
        <v>29</v>
      </c>
      <c r="L3" s="4" t="s">
        <v>6</v>
      </c>
      <c r="M3" s="4" t="s">
        <v>4</v>
      </c>
      <c r="N3" s="4" t="s">
        <v>29</v>
      </c>
      <c r="O3" s="4" t="s">
        <v>7</v>
      </c>
      <c r="P3" s="4" t="s">
        <v>4</v>
      </c>
      <c r="Q3" s="4" t="s">
        <v>29</v>
      </c>
      <c r="R3" s="4" t="s">
        <v>8</v>
      </c>
      <c r="S3" s="4" t="s">
        <v>4</v>
      </c>
      <c r="T3" s="4" t="s">
        <v>29</v>
      </c>
      <c r="U3" s="4" t="s">
        <v>9</v>
      </c>
      <c r="V3" s="4" t="s">
        <v>4</v>
      </c>
      <c r="W3" s="4" t="s">
        <v>29</v>
      </c>
    </row>
    <row r="4" spans="1:23" x14ac:dyDescent="0.25">
      <c r="A4" s="3">
        <v>2000</v>
      </c>
      <c r="B4" s="3">
        <v>704.5</v>
      </c>
      <c r="C4" s="3">
        <v>0</v>
      </c>
      <c r="D4" s="3">
        <v>40258.5</v>
      </c>
      <c r="E4" s="3">
        <f>D4*0.394</f>
        <v>15861.849</v>
      </c>
    </row>
    <row r="5" spans="1:23" x14ac:dyDescent="0.25">
      <c r="A5" s="3">
        <v>2001</v>
      </c>
      <c r="B5" s="3">
        <v>685.47850000000005</v>
      </c>
      <c r="C5" s="3">
        <v>2.6999999999999923E-2</v>
      </c>
      <c r="D5" s="3">
        <v>43854.3</v>
      </c>
      <c r="E5" s="3">
        <f>D5*0.394</f>
        <v>17278.594200000003</v>
      </c>
      <c r="F5" s="3">
        <f>0.6353*(EXP(-0.36)-1)/(EXP(-0.84)-1)/100</f>
        <v>3.3797252626603029E-3</v>
      </c>
      <c r="G5" s="3">
        <f>C5*F5*100</f>
        <v>9.1252582091827916E-3</v>
      </c>
      <c r="H5" s="3">
        <f>E5/(1-G5)-E5</f>
        <v>159.12367821761654</v>
      </c>
      <c r="I5" s="3">
        <f>0.6353*(EXP(-0.38)-1)/(EXP(-0.75)-1)/100</f>
        <v>3.8064843646806947E-3</v>
      </c>
      <c r="J5" s="3">
        <f>I5*C5*100</f>
        <v>1.0277507784637846E-2</v>
      </c>
      <c r="K5" s="3">
        <f>E5/(1-J5) - E5</f>
        <v>179.4249274871072</v>
      </c>
      <c r="L5" s="3">
        <f>0.6353*(EXP(-0.34)-1)/(EXP(-0.73)-1)/100</f>
        <v>3.5343657860574525E-3</v>
      </c>
      <c r="M5" s="3">
        <f>L5*C5*100</f>
        <v>9.542787622355095E-3</v>
      </c>
      <c r="N5" s="3">
        <f>E5/(1-M5) - E5</f>
        <v>166.47458648682004</v>
      </c>
      <c r="O5" s="3">
        <f>0.6353*(EXP(-0.21)-1)/(EXP(-0.84)-1)/100</f>
        <v>2.1175093591605985E-3</v>
      </c>
      <c r="P5" s="3">
        <f>O5*C5*100</f>
        <v>5.7172752697336E-3</v>
      </c>
      <c r="Q5" s="3">
        <f>E5/(1-P5) - E5</f>
        <v>99.354516435174446</v>
      </c>
      <c r="R5" s="3">
        <f>0.6353*(EXP(-0.21)-1)/(EXP(-0.75)-1)/100</f>
        <v>2.280670968837844E-3</v>
      </c>
      <c r="S5" s="3">
        <f>R5*C5*100</f>
        <v>6.1578116158621608E-3</v>
      </c>
      <c r="T5" s="3">
        <f>E5/(1-S5)-E5</f>
        <v>107.05756840884351</v>
      </c>
      <c r="U5" s="3">
        <f>0.6353*(EXP(-0.2)-1)/(EXP(-0.73)-1)/100</f>
        <v>2.2227822982222407E-3</v>
      </c>
      <c r="V5" s="3">
        <f>U5*C5*100</f>
        <v>6.0015122052000328E-3</v>
      </c>
      <c r="W5" s="3">
        <f>E5/(1-V5)-E5</f>
        <v>104.32379450602093</v>
      </c>
    </row>
    <row r="6" spans="1:23" x14ac:dyDescent="0.25">
      <c r="A6" s="3">
        <v>2002</v>
      </c>
      <c r="B6" s="3">
        <v>666.97058049999998</v>
      </c>
      <c r="C6" s="3">
        <v>5.3271000000000027E-2</v>
      </c>
      <c r="D6" s="3">
        <v>47774.9</v>
      </c>
      <c r="E6" s="3">
        <f>D6*0.394</f>
        <v>18823.310600000001</v>
      </c>
      <c r="F6" s="3">
        <f>0.6353*(EXP(-0.36)-1)/(EXP(-0.84)-1)/100</f>
        <v>3.3797252626603029E-3</v>
      </c>
      <c r="G6" s="3">
        <f>C6*F6*100</f>
        <v>1.8004134446717709E-2</v>
      </c>
      <c r="H6" s="3">
        <f>E6/(1-G6)-E6</f>
        <v>345.11083667728235</v>
      </c>
      <c r="I6" s="3">
        <f>0.6353*(EXP(-0.38)-1)/(EXP(-0.75)-1)/100</f>
        <v>3.8064843646806947E-3</v>
      </c>
      <c r="J6" s="3">
        <f>I6*C6*100</f>
        <v>2.0277522859090538E-2</v>
      </c>
      <c r="K6" s="3">
        <f>E6/(1-J6) - E6</f>
        <v>389.59003174973986</v>
      </c>
      <c r="L6" s="3">
        <f>0.6353*(EXP(-0.34)-1)/(EXP(-0.73)-1)/100</f>
        <v>3.5343657860574525E-3</v>
      </c>
      <c r="M6" s="3">
        <f>L6*C6*100</f>
        <v>1.8827919978906666E-2</v>
      </c>
      <c r="N6" s="3">
        <f>E6/(1-M6) - E6</f>
        <v>361.20451542739102</v>
      </c>
      <c r="O6" s="3">
        <f>0.6353*(EXP(-0.21)-1)/(EXP(-0.84)-1)/100</f>
        <v>2.1175093591605985E-3</v>
      </c>
      <c r="P6" s="3">
        <f>O6*C6*100</f>
        <v>1.128018410718443E-2</v>
      </c>
      <c r="Q6" s="3">
        <f>E6/(1-P6) - E6</f>
        <v>214.75286088302164</v>
      </c>
      <c r="R6" s="3">
        <f>0.6353*(EXP(-0.21)-1)/(EXP(-0.75)-1)/100</f>
        <v>2.280670968837844E-3</v>
      </c>
      <c r="S6" s="3">
        <f>R6*C6*100</f>
        <v>1.2149362318096085E-2</v>
      </c>
      <c r="T6" s="3">
        <f>E6/(1-S6)-E6</f>
        <v>231.50384459143243</v>
      </c>
      <c r="U6" s="3">
        <f>0.6353*(EXP(-0.2)-1)/(EXP(-0.73)-1)/100</f>
        <v>2.2227822982222407E-3</v>
      </c>
      <c r="V6" s="3">
        <f>U6*C6*100</f>
        <v>1.1840983580859703E-2</v>
      </c>
      <c r="W6" s="3">
        <f>E6/(1-V6)-E6</f>
        <v>225.55733242177303</v>
      </c>
    </row>
    <row r="7" spans="1:23" x14ac:dyDescent="0.25">
      <c r="A7" s="3">
        <v>2003</v>
      </c>
      <c r="B7" s="3">
        <f>B6*(1-12.3%)</f>
        <v>584.93319909850004</v>
      </c>
      <c r="C7" s="3">
        <v>0.16971866699999993</v>
      </c>
      <c r="D7" s="3">
        <v>55362.2</v>
      </c>
      <c r="E7" s="3">
        <f>D7*0.394</f>
        <v>21812.7068</v>
      </c>
      <c r="F7" s="3">
        <f>0.6353*(EXP(-0.36)-1)/(EXP(-0.84)-1)/100</f>
        <v>3.3797252626603029E-3</v>
      </c>
      <c r="G7" s="3">
        <f>C7*F7*100</f>
        <v>5.7360246640493127E-2</v>
      </c>
      <c r="H7" s="3">
        <f>E7/(1-G7)-E7</f>
        <v>1327.3175011828534</v>
      </c>
      <c r="I7" s="3">
        <f>0.6353*(EXP(-0.38)-1)/(EXP(-0.75)-1)/100</f>
        <v>3.8064843646806947E-3</v>
      </c>
      <c r="J7" s="3">
        <f>I7*C7*100</f>
        <v>6.4603145232994916E-2</v>
      </c>
      <c r="K7" s="3">
        <f>E7/(1-J7) - E7</f>
        <v>1506.493696385307</v>
      </c>
      <c r="L7" s="3">
        <f>0.6353*(EXP(-0.34)-1)/(EXP(-0.73)-1)/100</f>
        <v>3.5343657860574525E-3</v>
      </c>
      <c r="M7" s="3">
        <f>L7*C7*100</f>
        <v>5.9984784990007776E-2</v>
      </c>
      <c r="N7" s="3">
        <f>E7/(1-M7) - E7</f>
        <v>1391.9248396784424</v>
      </c>
      <c r="O7" s="3">
        <f>0.6353*(EXP(-0.21)-1)/(EXP(-0.84)-1)/100</f>
        <v>2.1175093591605985E-3</v>
      </c>
      <c r="P7" s="3">
        <f>O7*C7*100</f>
        <v>3.5938086579676086E-2</v>
      </c>
      <c r="Q7" s="3">
        <f>E7/(1-P7) - E7</f>
        <v>813.12925508520857</v>
      </c>
      <c r="R7" s="3">
        <f>0.6353*(EXP(-0.21)-1)/(EXP(-0.75)-1)/100</f>
        <v>2.280670968837844E-3</v>
      </c>
      <c r="S7" s="3">
        <f>R7*C7*100</f>
        <v>3.8707243669675727E-2</v>
      </c>
      <c r="T7" s="3">
        <f>E7/(1-S7)-E7</f>
        <v>878.3065841730604</v>
      </c>
      <c r="U7" s="3">
        <f>0.6353*(EXP(-0.2)-1)/(EXP(-0.73)-1)/100</f>
        <v>2.2227822982222407E-3</v>
      </c>
      <c r="V7" s="3">
        <f>U7*C7*100</f>
        <v>3.7724764868547499E-2</v>
      </c>
      <c r="W7" s="3">
        <f>E7/(1-V7)-E7</f>
        <v>855.13915887501571</v>
      </c>
    </row>
    <row r="8" spans="1:23" x14ac:dyDescent="0.25">
      <c r="A8" s="3">
        <v>2004</v>
      </c>
      <c r="B8" s="3">
        <v>582.59346630000005</v>
      </c>
      <c r="C8" s="3">
        <v>0.17303979233498928</v>
      </c>
      <c r="D8" s="3">
        <v>65774.899999999994</v>
      </c>
      <c r="E8" s="3">
        <f>D8*0.394</f>
        <v>25915.310599999997</v>
      </c>
      <c r="F8" s="3">
        <f>0.6353*(EXP(-0.36)-1)/(EXP(-0.84)-1)/100</f>
        <v>3.3797252626603029E-3</v>
      </c>
      <c r="G8" s="3">
        <f>C8*F8*100</f>
        <v>5.8482695760005587E-2</v>
      </c>
      <c r="H8" s="3">
        <f>E8/(1-G8)-E8</f>
        <v>1609.7391078428009</v>
      </c>
      <c r="I8" s="3">
        <f>0.6353*(EXP(-0.38)-1)/(EXP(-0.75)-1)/100</f>
        <v>3.8064843646806947E-3</v>
      </c>
      <c r="J8" s="3">
        <f>I8*C8*100</f>
        <v>6.5867326399073098E-2</v>
      </c>
      <c r="K8" s="3">
        <f>E8/(1-J8) - E8</f>
        <v>1827.3338148460898</v>
      </c>
      <c r="L8" s="3">
        <f>0.6353*(EXP(-0.34)-1)/(EXP(-0.73)-1)/100</f>
        <v>3.5343657860574525E-3</v>
      </c>
      <c r="M8" s="3">
        <f>L8*C8*100</f>
        <v>6.115859216552727E-2</v>
      </c>
      <c r="N8" s="3">
        <f>E8/(1-M8) - E8</f>
        <v>1688.191316022363</v>
      </c>
      <c r="O8" s="3">
        <f>0.6353*(EXP(-0.21)-1)/(EXP(-0.84)-1)/100</f>
        <v>2.1175093591605985E-3</v>
      </c>
      <c r="P8" s="3">
        <f>O8*C8*100</f>
        <v>3.664133797765462E-2</v>
      </c>
      <c r="Q8" s="3">
        <f>E8/(1-P8) - E8</f>
        <v>985.68860376164957</v>
      </c>
      <c r="R8" s="3">
        <f>0.6353*(EXP(-0.21)-1)/(EXP(-0.75)-1)/100</f>
        <v>2.280670968837844E-3</v>
      </c>
      <c r="S8" s="3">
        <f>R8*C8*100</f>
        <v>3.9464683083213929E-2</v>
      </c>
      <c r="T8" s="3">
        <f>E8/(1-S8)-E8</f>
        <v>1064.7599331536694</v>
      </c>
      <c r="U8" s="3">
        <f>0.6353*(EXP(-0.2)-1)/(EXP(-0.73)-1)/100</f>
        <v>2.2227822982222407E-3</v>
      </c>
      <c r="V8" s="3">
        <f>U8*C8*100</f>
        <v>3.8462978729026674E-2</v>
      </c>
      <c r="W8" s="3">
        <f>E8/(1-V8)-E8</f>
        <v>1036.6527947580871</v>
      </c>
    </row>
    <row r="9" spans="1:23" x14ac:dyDescent="0.25">
      <c r="A9" s="3">
        <v>2005</v>
      </c>
      <c r="B9" s="3">
        <v>555</v>
      </c>
      <c r="C9" s="3">
        <v>0.21220723917672107</v>
      </c>
      <c r="D9" s="3">
        <v>77958.3</v>
      </c>
      <c r="E9" s="3">
        <f>D9*0.394</f>
        <v>30715.570200000002</v>
      </c>
      <c r="F9" s="3">
        <f>0.6353*(EXP(-0.36)-1)/(EXP(-0.84)-1)/100</f>
        <v>3.3797252626603029E-3</v>
      </c>
      <c r="G9" s="3">
        <f>C9*F9*100</f>
        <v>7.172021671649613E-2</v>
      </c>
      <c r="H9" s="3">
        <f>E9/(1-G9)-E9</f>
        <v>2373.1286525734395</v>
      </c>
      <c r="I9" s="3">
        <f>0.6353*(EXP(-0.38)-1)/(EXP(-0.75)-1)/100</f>
        <v>3.8064843646806947E-3</v>
      </c>
      <c r="J9" s="3">
        <f>I9*C9*100</f>
        <v>8.0776353799824535E-2</v>
      </c>
      <c r="K9" s="3">
        <f>E9/(1-J9) - E9</f>
        <v>2699.1165598216685</v>
      </c>
      <c r="L9" s="3">
        <f>0.6353*(EXP(-0.34)-1)/(EXP(-0.73)-1)/100</f>
        <v>3.5343657860574525E-3</v>
      </c>
      <c r="M9" s="3">
        <f>L9*C9*100</f>
        <v>7.5001800569991367E-2</v>
      </c>
      <c r="N9" s="3">
        <f>E9/(1-M9) - E9</f>
        <v>2490.5162755490164</v>
      </c>
      <c r="O9" s="3">
        <f>0.6353*(EXP(-0.21)-1)/(EXP(-0.84)-1)/100</f>
        <v>2.1175093591605985E-3</v>
      </c>
      <c r="P9" s="3">
        <f>O9*C9*100</f>
        <v>4.4935081503833844E-2</v>
      </c>
      <c r="Q9" s="3">
        <f>E9/(1-P9) - E9</f>
        <v>1445.1443285624882</v>
      </c>
      <c r="R9" s="3">
        <f>0.6353*(EXP(-0.21)-1)/(EXP(-0.75)-1)/100</f>
        <v>2.280670968837844E-3</v>
      </c>
      <c r="S9" s="3">
        <f>R9*C9*100</f>
        <v>4.8397488976757656E-2</v>
      </c>
      <c r="T9" s="3">
        <f>E9/(1-S9)-E9</f>
        <v>1562.1611470642893</v>
      </c>
      <c r="U9" s="3">
        <f>0.6353*(EXP(-0.2)-1)/(EXP(-0.73)-1)/100</f>
        <v>2.2227822982222407E-3</v>
      </c>
      <c r="V9" s="3">
        <f>U9*C9*100</f>
        <v>4.7169049479662876E-2</v>
      </c>
      <c r="W9" s="3">
        <f>E9/(1-V9)-E9</f>
        <v>1520.5470075973717</v>
      </c>
    </row>
    <row r="10" spans="1:23" x14ac:dyDescent="0.25">
      <c r="A10" s="3">
        <v>2006</v>
      </c>
      <c r="B10" s="3">
        <v>541.67999999999995</v>
      </c>
      <c r="C10" s="3">
        <v>0.23111426543647984</v>
      </c>
      <c r="D10" s="3">
        <v>92235.8</v>
      </c>
      <c r="E10" s="3">
        <f>D10*0.394</f>
        <v>36340.905200000001</v>
      </c>
      <c r="F10" s="3">
        <f>0.6353*(EXP(-0.36)-1)/(EXP(-0.84)-1)/100</f>
        <v>3.3797252626603029E-3</v>
      </c>
      <c r="G10" s="3">
        <f>C10*F10*100</f>
        <v>7.8110272145684972E-2</v>
      </c>
      <c r="H10" s="3">
        <f>E10/(1-G10)-E10</f>
        <v>3079.107955567888</v>
      </c>
      <c r="I10" s="3">
        <f>0.6353*(EXP(-0.38)-1)/(EXP(-0.75)-1)/100</f>
        <v>3.8064843646806947E-3</v>
      </c>
      <c r="J10" s="3">
        <f>I10*C10*100</f>
        <v>8.7973283783862433E-2</v>
      </c>
      <c r="K10" s="3">
        <f>E10/(1-J10) - E10</f>
        <v>3505.4113100831528</v>
      </c>
      <c r="L10" s="3">
        <f>0.6353*(EXP(-0.34)-1)/(EXP(-0.73)-1)/100</f>
        <v>3.5343657860574525E-3</v>
      </c>
      <c r="M10" s="3">
        <f>L10*C10*100</f>
        <v>8.1684235242849471E-2</v>
      </c>
      <c r="N10" s="3">
        <f>E10/(1-M10) - E10</f>
        <v>3232.5254157864838</v>
      </c>
      <c r="O10" s="3">
        <f>0.6353*(EXP(-0.21)-1)/(EXP(-0.84)-1)/100</f>
        <v>2.1175093591605985E-3</v>
      </c>
      <c r="P10" s="3">
        <f>O10*C10*100</f>
        <v>4.8938662009727289E-2</v>
      </c>
      <c r="Q10" s="3">
        <f>E10/(1-P10) - E10</f>
        <v>1869.9900896702529</v>
      </c>
      <c r="R10" s="3">
        <f>0.6353*(EXP(-0.21)-1)/(EXP(-0.75)-1)/100</f>
        <v>2.280670968837844E-3</v>
      </c>
      <c r="S10" s="3">
        <f>R10*C10*100</f>
        <v>5.2709559566526308E-2</v>
      </c>
      <c r="T10" s="3">
        <f>E10/(1-S10)-E10</f>
        <v>2022.0969468079493</v>
      </c>
      <c r="U10" s="3">
        <f>0.6353*(EXP(-0.2)-1)/(EXP(-0.73)-1)/100</f>
        <v>2.2227822982222407E-3</v>
      </c>
      <c r="V10" s="3">
        <f>U10*C10*100</f>
        <v>5.1371669807884365E-2</v>
      </c>
      <c r="W10" s="3">
        <f>E10/(1-V10)-E10</f>
        <v>1967.9920186190793</v>
      </c>
    </row>
    <row r="11" spans="1:23" x14ac:dyDescent="0.25">
      <c r="A11" s="4">
        <v>2007</v>
      </c>
      <c r="B11" s="4">
        <v>510.26256000000001</v>
      </c>
      <c r="C11" s="4">
        <v>0.27570963804116394</v>
      </c>
      <c r="D11" s="4">
        <v>111690.8</v>
      </c>
      <c r="E11" s="4">
        <f>D11*0.394</f>
        <v>44006.175200000005</v>
      </c>
      <c r="F11" s="4">
        <f>0.6353*(EXP(-0.36)-1)/(EXP(-0.84)-1)/100</f>
        <v>3.3797252626603029E-3</v>
      </c>
      <c r="G11" s="4">
        <f>C11*F11*100</f>
        <v>9.3182282884664985E-2</v>
      </c>
      <c r="H11" s="4">
        <f>E11/(1-G11)-E11</f>
        <v>4521.9626709575969</v>
      </c>
      <c r="I11" s="4">
        <f>0.6353*(EXP(-0.38)-1)/(EXP(-0.75)-1)/100</f>
        <v>3.8064843646806947E-3</v>
      </c>
      <c r="J11" s="4">
        <f>I11*C11*100</f>
        <v>0.10494844263954642</v>
      </c>
      <c r="K11" s="4">
        <f>E11/(1-J11) - E11</f>
        <v>5159.9033773907213</v>
      </c>
      <c r="L11" s="4">
        <f>0.6353*(EXP(-0.34)-1)/(EXP(-0.73)-1)/100</f>
        <v>3.5343657860574525E-3</v>
      </c>
      <c r="M11" s="4">
        <f>L11*C11*100</f>
        <v>9.7445871157897407E-2</v>
      </c>
      <c r="N11" s="4">
        <f>E11/(1-M11) - E11</f>
        <v>4751.2054309612067</v>
      </c>
      <c r="O11" s="4">
        <f>0.6353*(EXP(-0.21)-1)/(EXP(-0.84)-1)/100</f>
        <v>2.1175093591605985E-3</v>
      </c>
      <c r="P11" s="4">
        <f>O11*C11*100</f>
        <v>5.8381773896294557E-2</v>
      </c>
      <c r="Q11" s="4">
        <f>E11/(1-P11) - E11</f>
        <v>2728.4503414913415</v>
      </c>
      <c r="R11" s="4">
        <f>0.6353*(EXP(-0.21)-1)/(EXP(-0.75)-1)/100</f>
        <v>2.280670968837844E-3</v>
      </c>
      <c r="S11" s="4">
        <f>R11*C11*100</f>
        <v>6.2880296730927265E-2</v>
      </c>
      <c r="T11" s="4">
        <f>E11/(1-S11)-E11</f>
        <v>2952.7939119370494</v>
      </c>
      <c r="U11" s="4">
        <f>0.6353*(EXP(-0.2)-1)/(EXP(-0.73)-1)/100</f>
        <v>2.2227822982222407E-3</v>
      </c>
      <c r="V11" s="4">
        <f>U11*C11*100</f>
        <v>6.128425028871605E-2</v>
      </c>
      <c r="W11" s="4">
        <f>E11/(1-V11)-E11</f>
        <v>2872.9521753900044</v>
      </c>
    </row>
    <row r="12" spans="1:23" s="6" customFormat="1" x14ac:dyDescent="0.25">
      <c r="A12" s="5" t="s">
        <v>10</v>
      </c>
      <c r="B12" s="5"/>
      <c r="C12" s="5"/>
      <c r="D12" s="5"/>
      <c r="E12" s="5"/>
      <c r="F12" s="5"/>
      <c r="G12" s="5"/>
      <c r="H12" s="5">
        <f>SUM(H5:H11)/10</f>
        <v>1341.5490403019478</v>
      </c>
      <c r="I12" s="5"/>
      <c r="J12" s="5"/>
      <c r="K12" s="5">
        <f>SUM(K5:K11)/10</f>
        <v>1526.7273717763787</v>
      </c>
      <c r="L12" s="5"/>
      <c r="M12" s="5"/>
      <c r="N12" s="5">
        <f>SUM(N5:N11)/10</f>
        <v>1408.2042379911722</v>
      </c>
      <c r="O12" s="5"/>
      <c r="P12" s="5"/>
      <c r="Q12" s="5">
        <f>SUM(Q5:Q11)/10</f>
        <v>815.65099958891369</v>
      </c>
      <c r="R12" s="5"/>
      <c r="S12" s="5"/>
      <c r="T12" s="5">
        <f>SUM(T5:T11)/10</f>
        <v>881.86799361362932</v>
      </c>
      <c r="U12" s="5"/>
      <c r="V12" s="5"/>
      <c r="W12" s="5">
        <f>SUM(W5:W11)/10</f>
        <v>858.31642821673518</v>
      </c>
    </row>
    <row r="14" spans="1:23" x14ac:dyDescent="0.25">
      <c r="A14" s="3" t="s">
        <v>15</v>
      </c>
    </row>
    <row r="15" spans="1:23" x14ac:dyDescent="0.25">
      <c r="A15" s="3" t="s">
        <v>16</v>
      </c>
    </row>
    <row r="16" spans="1:23" x14ac:dyDescent="0.25">
      <c r="A16" s="3" t="s">
        <v>17</v>
      </c>
    </row>
    <row r="17" spans="1:1" x14ac:dyDescent="0.25">
      <c r="A17" s="3" t="s">
        <v>33</v>
      </c>
    </row>
    <row r="18" spans="1:1" x14ac:dyDescent="0.25">
      <c r="A18" s="3" t="s">
        <v>18</v>
      </c>
    </row>
    <row r="19" spans="1:1" x14ac:dyDescent="0.25">
      <c r="A19" s="3" t="s">
        <v>19</v>
      </c>
    </row>
    <row r="20" spans="1:1" x14ac:dyDescent="0.25">
      <c r="A20" s="3" t="s">
        <v>21</v>
      </c>
    </row>
    <row r="21" spans="1:1" x14ac:dyDescent="0.25">
      <c r="A21" s="3" t="s">
        <v>20</v>
      </c>
    </row>
    <row r="22" spans="1:1" x14ac:dyDescent="0.25">
      <c r="A22" s="3" t="s">
        <v>22</v>
      </c>
    </row>
    <row r="23" spans="1:1" x14ac:dyDescent="0.25">
      <c r="A23" s="3" t="s">
        <v>23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BDF2-C95B-41DF-9FFF-98F420D66FD1}">
  <dimension ref="A1:W21"/>
  <sheetViews>
    <sheetView workbookViewId="0">
      <selection activeCell="E3" sqref="E3"/>
    </sheetView>
  </sheetViews>
  <sheetFormatPr defaultRowHeight="15" x14ac:dyDescent="0.25"/>
  <cols>
    <col min="1" max="23" width="11.85546875" customWidth="1"/>
  </cols>
  <sheetData>
    <row r="1" spans="1:23" ht="15.75" x14ac:dyDescent="0.25">
      <c r="A1" s="11" t="s">
        <v>27</v>
      </c>
      <c r="B1" s="11"/>
      <c r="C1" s="11"/>
      <c r="D1" s="11"/>
      <c r="E1" s="11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9" customFormat="1" ht="15.75" x14ac:dyDescent="0.25">
      <c r="A2" s="8">
        <v>-1</v>
      </c>
      <c r="B2" s="8">
        <v>-2</v>
      </c>
      <c r="C2" s="8">
        <v>-3</v>
      </c>
      <c r="D2" s="8">
        <v>-4</v>
      </c>
      <c r="E2" s="8">
        <v>-5</v>
      </c>
      <c r="F2" s="8">
        <v>-6</v>
      </c>
      <c r="G2" s="8">
        <v>-7</v>
      </c>
      <c r="H2" s="8">
        <v>-8</v>
      </c>
      <c r="I2" s="8">
        <v>-9</v>
      </c>
      <c r="J2" s="8">
        <v>-10</v>
      </c>
      <c r="K2" s="8">
        <v>-11</v>
      </c>
      <c r="L2" s="8">
        <v>-12</v>
      </c>
      <c r="M2" s="8">
        <v>-13</v>
      </c>
      <c r="N2" s="8">
        <v>-14</v>
      </c>
      <c r="O2" s="8">
        <v>-15</v>
      </c>
      <c r="P2" s="8">
        <v>-16</v>
      </c>
      <c r="Q2" s="8">
        <v>-17</v>
      </c>
      <c r="R2" s="8">
        <v>-18</v>
      </c>
      <c r="S2" s="8">
        <v>-19</v>
      </c>
      <c r="T2" s="8">
        <v>-20</v>
      </c>
      <c r="U2" s="8">
        <v>-21</v>
      </c>
      <c r="V2" s="8">
        <v>-22</v>
      </c>
      <c r="W2" s="8">
        <v>-23</v>
      </c>
    </row>
    <row r="3" spans="1:23" s="10" customFormat="1" ht="15.75" x14ac:dyDescent="0.25">
      <c r="A3" s="7" t="s">
        <v>0</v>
      </c>
      <c r="B3" s="7" t="s">
        <v>26</v>
      </c>
      <c r="C3" s="4" t="s">
        <v>12</v>
      </c>
      <c r="D3" s="7" t="s">
        <v>24</v>
      </c>
      <c r="E3" s="7" t="s">
        <v>25</v>
      </c>
      <c r="F3" s="4" t="s">
        <v>3</v>
      </c>
      <c r="G3" s="4" t="s">
        <v>4</v>
      </c>
      <c r="H3" s="4" t="s">
        <v>28</v>
      </c>
      <c r="I3" s="4" t="s">
        <v>5</v>
      </c>
      <c r="J3" s="4" t="s">
        <v>4</v>
      </c>
      <c r="K3" s="4" t="s">
        <v>29</v>
      </c>
      <c r="L3" s="4" t="s">
        <v>6</v>
      </c>
      <c r="M3" s="4" t="s">
        <v>4</v>
      </c>
      <c r="N3" s="4" t="s">
        <v>29</v>
      </c>
      <c r="O3" s="4" t="s">
        <v>7</v>
      </c>
      <c r="P3" s="4" t="s">
        <v>4</v>
      </c>
      <c r="Q3" s="4" t="s">
        <v>29</v>
      </c>
      <c r="R3" s="4" t="s">
        <v>8</v>
      </c>
      <c r="S3" s="4" t="s">
        <v>4</v>
      </c>
      <c r="T3" s="4" t="s">
        <v>29</v>
      </c>
      <c r="U3" s="4" t="s">
        <v>9</v>
      </c>
      <c r="V3" s="4" t="s">
        <v>4</v>
      </c>
      <c r="W3" s="4" t="s">
        <v>29</v>
      </c>
    </row>
    <row r="4" spans="1:23" s="1" customFormat="1" ht="15.75" x14ac:dyDescent="0.25">
      <c r="A4" s="3">
        <v>2015</v>
      </c>
      <c r="B4" s="3">
        <v>1</v>
      </c>
      <c r="C4" s="3"/>
      <c r="D4" s="3">
        <v>234968.9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s="1" customFormat="1" ht="15.75" x14ac:dyDescent="0.25">
      <c r="A5" s="3">
        <v>2016</v>
      </c>
      <c r="B5" s="3">
        <v>0.98</v>
      </c>
      <c r="C5" s="3">
        <f>-(B4-B5)/B4</f>
        <v>-2.0000000000000018E-2</v>
      </c>
      <c r="D5" s="3">
        <v>245406.4</v>
      </c>
      <c r="E5" s="3">
        <f>D5*0.394</f>
        <v>96690.121599999999</v>
      </c>
      <c r="F5" s="3">
        <f>0.6353*(EXP(-0.36)-1)/(EXP(-0.84)-1)/100</f>
        <v>3.3797252626603029E-3</v>
      </c>
      <c r="G5" s="3">
        <f>-C5*F5*100</f>
        <v>6.759450525320611E-3</v>
      </c>
      <c r="H5" s="3">
        <f>E5/(1-G5)-E5</f>
        <v>658.0199465155747</v>
      </c>
      <c r="I5" s="3">
        <f>0.6353*(EXP(-0.38)-1)/(EXP(-0.75)-1)/100</f>
        <v>3.8064843646806947E-3</v>
      </c>
      <c r="J5" s="3">
        <f>-I5*C5*100</f>
        <v>7.6129687293613963E-3</v>
      </c>
      <c r="K5" s="3">
        <f>E5/(1-J5)-E5</f>
        <v>741.74575945078686</v>
      </c>
      <c r="L5" s="3">
        <f>0.6353*(EXP(-0.34)-1)/(EXP(-0.73)-1)/100</f>
        <v>3.5343657860574525E-3</v>
      </c>
      <c r="M5" s="3">
        <f>-L5*C5*100</f>
        <v>7.0687315721149118E-3</v>
      </c>
      <c r="N5" s="3">
        <f>E5/(1-M5)-E5</f>
        <v>688.34222166021937</v>
      </c>
      <c r="O5" s="3">
        <f>0.6353*(EXP(-0.21)-1)/(EXP(-0.84)-1)/100</f>
        <v>2.1175093591605985E-3</v>
      </c>
      <c r="P5" s="3">
        <f>-O5*C5*100</f>
        <v>4.2350187183212004E-3</v>
      </c>
      <c r="Q5" s="3">
        <f>E5/(1-P5)-E5</f>
        <v>411.22602476509928</v>
      </c>
      <c r="R5" s="3">
        <f>0.6353*(EXP(-0.21)-1)/(EXP(-0.75)-1)/100</f>
        <v>2.280670968837844E-3</v>
      </c>
      <c r="S5" s="3">
        <f>-R5*C5*100</f>
        <v>4.5613419376756923E-3</v>
      </c>
      <c r="T5" s="3">
        <f>E5/(1-S5)-E5</f>
        <v>443.05764402553905</v>
      </c>
      <c r="U5" s="3">
        <f>0.6353*(EXP(-0.2)-1)/(EXP(-0.73)-1)/100</f>
        <v>2.2227822982222407E-3</v>
      </c>
      <c r="V5" s="3">
        <f>-U5*C5*100</f>
        <v>4.4455645964444849E-3</v>
      </c>
      <c r="W5" s="3">
        <f>E5/(1-V5) - E5</f>
        <v>431.76160551847715</v>
      </c>
    </row>
    <row r="6" spans="1:23" s="1" customFormat="1" ht="15.75" x14ac:dyDescent="0.25">
      <c r="A6" s="3">
        <v>2017</v>
      </c>
      <c r="B6" s="3">
        <v>0.96</v>
      </c>
      <c r="C6" s="3">
        <f>-(B4-B6)/B4</f>
        <v>-4.0000000000000036E-2</v>
      </c>
      <c r="D6" s="3">
        <v>275119.3</v>
      </c>
      <c r="E6" s="3">
        <f>D6*0.394</f>
        <v>108397.0042</v>
      </c>
      <c r="F6" s="3">
        <f>0.6353*(EXP(-0.36)-1)/(EXP(-0.84)-1)/100</f>
        <v>3.3797252626603029E-3</v>
      </c>
      <c r="G6" s="3">
        <f>-C6*F6*100</f>
        <v>1.3518901050641222E-2</v>
      </c>
      <c r="H6" s="3">
        <f>E6/(1-G6)-E6</f>
        <v>1485.4905740479589</v>
      </c>
      <c r="I6" s="3">
        <f>0.6353*(EXP(-0.38)-1)/(EXP(-0.75)-1)/100</f>
        <v>3.8064843646806947E-3</v>
      </c>
      <c r="J6" s="3">
        <f>-I6*C6*100</f>
        <v>1.5225937458722793E-2</v>
      </c>
      <c r="K6" s="3">
        <f>E6/(1-J6)-E6</f>
        <v>1675.9641317146597</v>
      </c>
      <c r="L6" s="3">
        <f>0.6353*(EXP(-0.34)-1)/(EXP(-0.73)-1)/100</f>
        <v>3.5343657860574525E-3</v>
      </c>
      <c r="M6" s="3">
        <f>-L6*C6*100</f>
        <v>1.4137463144229824E-2</v>
      </c>
      <c r="N6" s="3">
        <f>E6/(1-M6)-E6</f>
        <v>1554.4344110183156</v>
      </c>
      <c r="O6" s="3">
        <f>0.6353*(EXP(-0.21)-1)/(EXP(-0.84)-1)/100</f>
        <v>2.1175093591605985E-3</v>
      </c>
      <c r="P6" s="3">
        <f>-O6*C6*100</f>
        <v>8.4700374366424008E-3</v>
      </c>
      <c r="Q6" s="3">
        <f>E6/(1-P6)-E6</f>
        <v>925.96968146105064</v>
      </c>
      <c r="R6" s="3">
        <f>0.6353*(EXP(-0.21)-1)/(EXP(-0.75)-1)/100</f>
        <v>2.280670968837844E-3</v>
      </c>
      <c r="S6" s="3">
        <f>-R6*C6*100</f>
        <v>9.1226838753513846E-3</v>
      </c>
      <c r="T6" s="3">
        <f>E6/(1-S6)-E6</f>
        <v>997.97582027535827</v>
      </c>
      <c r="U6" s="3">
        <f>0.6353*(EXP(-0.2)-1)/(EXP(-0.73)-1)/100</f>
        <v>2.2227822982222407E-3</v>
      </c>
      <c r="V6" s="3">
        <f>-U6*C6*100</f>
        <v>8.8911291928889698E-3</v>
      </c>
      <c r="W6" s="3">
        <f>E6/(1-V6) - E6</f>
        <v>972.41765950442641</v>
      </c>
    </row>
    <row r="7" spans="1:23" s="1" customFormat="1" ht="15.75" x14ac:dyDescent="0.25">
      <c r="A7" s="3">
        <v>2018</v>
      </c>
      <c r="B7" s="3">
        <v>0.94</v>
      </c>
      <c r="C7" s="3">
        <f>-(B4-B7)/B4</f>
        <v>-6.0000000000000053E-2</v>
      </c>
      <c r="D7" s="3">
        <v>301089.3</v>
      </c>
      <c r="E7" s="3">
        <f>D7*0.394</f>
        <v>118629.1842</v>
      </c>
      <c r="F7" s="3">
        <f>0.6353*(EXP(-0.36)-1)/(EXP(-0.84)-1)/100</f>
        <v>3.3797252626603029E-3</v>
      </c>
      <c r="G7" s="3">
        <f>-C7*F7*100</f>
        <v>2.0278351575961837E-2</v>
      </c>
      <c r="H7" s="3">
        <f>E7/(1-G7)-E7</f>
        <v>2455.395681259819</v>
      </c>
      <c r="I7" s="3">
        <f>0.6353*(EXP(-0.38)-1)/(EXP(-0.75)-1)/100</f>
        <v>3.8064843646806947E-3</v>
      </c>
      <c r="J7" s="3">
        <f>-I7*C7*100</f>
        <v>2.2838906188084186E-2</v>
      </c>
      <c r="K7" s="3">
        <f>E7/(1-J7)-E7</f>
        <v>2772.6859227924288</v>
      </c>
      <c r="L7" s="3">
        <f>0.6353*(EXP(-0.34)-1)/(EXP(-0.73)-1)/100</f>
        <v>3.5343657860574525E-3</v>
      </c>
      <c r="M7" s="3">
        <f>-L7*C7*100</f>
        <v>2.1206194716344731E-2</v>
      </c>
      <c r="N7" s="3">
        <f>E7/(1-M7)-E7</f>
        <v>2570.1772585874569</v>
      </c>
      <c r="O7" s="3">
        <f>0.6353*(EXP(-0.21)-1)/(EXP(-0.84)-1)/100</f>
        <v>2.1175093591605985E-3</v>
      </c>
      <c r="P7" s="3">
        <f>-O7*C7*100</f>
        <v>1.2705056154963602E-2</v>
      </c>
      <c r="Q7" s="3">
        <f>E7/(1-P7)-E7</f>
        <v>1526.5858052597177</v>
      </c>
      <c r="R7" s="3">
        <f>0.6353*(EXP(-0.21)-1)/(EXP(-0.75)-1)/100</f>
        <v>2.280670968837844E-3</v>
      </c>
      <c r="S7" s="3">
        <f>-R7*C7*100</f>
        <v>1.3684025813027077E-2</v>
      </c>
      <c r="T7" s="3">
        <f>E7/(1-S7)-E7</f>
        <v>1645.8466264923482</v>
      </c>
      <c r="U7" s="3">
        <f>0.6353*(EXP(-0.2)-1)/(EXP(-0.73)-1)/100</f>
        <v>2.2227822982222407E-3</v>
      </c>
      <c r="V7" s="3">
        <f>-U7*C7*100</f>
        <v>1.3336693789333455E-2</v>
      </c>
      <c r="W7" s="3">
        <f>E7/(1-V7) - E7</f>
        <v>1603.5065804058831</v>
      </c>
    </row>
    <row r="8" spans="1:23" s="1" customFormat="1" ht="15.75" x14ac:dyDescent="0.25">
      <c r="A8" s="3">
        <v>2019</v>
      </c>
      <c r="B8" s="3">
        <v>0.92</v>
      </c>
      <c r="C8" s="3">
        <f>-(B4-B8)/B5</f>
        <v>-8.1632653061224456E-2</v>
      </c>
      <c r="D8" s="3">
        <f>D7*1.08</f>
        <v>325176.44400000002</v>
      </c>
      <c r="E8" s="3">
        <f>D8*0.394</f>
        <v>128119.51893600001</v>
      </c>
      <c r="F8" s="3">
        <f>0.6353*(EXP(-0.36)-1)/(EXP(-0.84)-1)/100</f>
        <v>3.3797252626603029E-3</v>
      </c>
      <c r="G8" s="3">
        <f>-C8*F8*100</f>
        <v>2.7589593980900419E-2</v>
      </c>
      <c r="H8" s="3">
        <f>E8/(1-G8)-E8</f>
        <v>3635.0552056958259</v>
      </c>
      <c r="I8" s="3">
        <f>0.6353*(EXP(-0.38)-1)/(EXP(-0.75)-1)/100</f>
        <v>3.8064843646806947E-3</v>
      </c>
      <c r="J8" s="3">
        <f>-I8*C8*100</f>
        <v>3.1073341752495456E-2</v>
      </c>
      <c r="K8" s="3">
        <f>E8/(1-J8)-E8</f>
        <v>4108.7749657587556</v>
      </c>
      <c r="L8" s="3">
        <f>0.6353*(EXP(-0.34)-1)/(EXP(-0.73)-1)/100</f>
        <v>3.5343657860574525E-3</v>
      </c>
      <c r="M8" s="3">
        <f>-L8*C8*100</f>
        <v>2.8851965600468984E-2</v>
      </c>
      <c r="N8" s="3">
        <f>E8/(1-M8)-E8</f>
        <v>3806.3197598661645</v>
      </c>
      <c r="O8" s="3">
        <f>0.6353*(EXP(-0.21)-1)/(EXP(-0.84)-1)/100</f>
        <v>2.1175093591605985E-3</v>
      </c>
      <c r="P8" s="3">
        <f>-O8*C8*100</f>
        <v>1.7285790687025286E-2</v>
      </c>
      <c r="Q8" s="3">
        <f>E8/(1-P8)-E8</f>
        <v>2253.6024881520279</v>
      </c>
      <c r="R8" s="3">
        <f>0.6353*(EXP(-0.21)-1)/(EXP(-0.75)-1)/100</f>
        <v>2.280670968837844E-3</v>
      </c>
      <c r="S8" s="3">
        <f>-R8*C8*100</f>
        <v>1.8617722194594635E-2</v>
      </c>
      <c r="T8" s="3">
        <f>E8/(1-S8)-E8</f>
        <v>2430.5448194862693</v>
      </c>
      <c r="U8" s="3">
        <f>0.6353*(EXP(-0.2)-1)/(EXP(-0.73)-1)/100</f>
        <v>2.2227822982222407E-3</v>
      </c>
      <c r="V8" s="3">
        <f>-U8*C8*100</f>
        <v>1.8145161618140733E-2</v>
      </c>
      <c r="W8" s="3">
        <f>E8/(1-V8) - E8</f>
        <v>2367.7118924865208</v>
      </c>
    </row>
    <row r="9" spans="1:23" s="1" customFormat="1" ht="15.75" x14ac:dyDescent="0.25">
      <c r="A9" s="3">
        <v>2020</v>
      </c>
      <c r="B9" s="3">
        <v>0.9</v>
      </c>
      <c r="C9" s="3">
        <f>-(B4-B9)/B4</f>
        <v>-9.9999999999999978E-2</v>
      </c>
      <c r="D9" s="3">
        <f>D8*1.07</f>
        <v>347938.79508000001</v>
      </c>
      <c r="E9" s="3">
        <f>D9*0.394</f>
        <v>137087.88526152002</v>
      </c>
      <c r="F9" s="3">
        <f>0.6353*(EXP(-0.36)-1)/(EXP(-0.84)-1)/100</f>
        <v>3.3797252626603029E-3</v>
      </c>
      <c r="G9" s="3">
        <f>-C9*F9*100</f>
        <v>3.3797252626603026E-2</v>
      </c>
      <c r="H9" s="3">
        <f>E9/(1-G9)-E9</f>
        <v>4795.2605214853829</v>
      </c>
      <c r="I9" s="3">
        <f>0.6353*(EXP(-0.38)-1)/(EXP(-0.75)-1)/100</f>
        <v>3.8064843646806947E-3</v>
      </c>
      <c r="J9" s="3">
        <f>-I9*C9*100</f>
        <v>3.8064843646806942E-2</v>
      </c>
      <c r="K9" s="3">
        <f>E9/(1-J9)-E9</f>
        <v>5424.720038442174</v>
      </c>
      <c r="L9" s="3">
        <f>0.6353*(EXP(-0.34)-1)/(EXP(-0.73)-1)/100</f>
        <v>3.5343657860574525E-3</v>
      </c>
      <c r="M9" s="3">
        <f>-L9*C9*100</f>
        <v>3.5343657860574515E-2</v>
      </c>
      <c r="N9" s="3">
        <f>E9/(1-M9)-E9</f>
        <v>5022.7081934351299</v>
      </c>
      <c r="O9" s="3">
        <f>0.6353*(EXP(-0.21)-1)/(EXP(-0.84)-1)/100</f>
        <v>2.1175093591605985E-3</v>
      </c>
      <c r="P9" s="3">
        <f>-O9*C9*100</f>
        <v>2.1175093591605978E-2</v>
      </c>
      <c r="Q9" s="3">
        <f>E9/(1-P9)-E9</f>
        <v>2965.6466459762014</v>
      </c>
      <c r="R9" s="3">
        <f>0.6353*(EXP(-0.21)-1)/(EXP(-0.75)-1)/100</f>
        <v>2.280670968837844E-3</v>
      </c>
      <c r="S9" s="3">
        <f>-R9*C9*100</f>
        <v>2.2806709688378436E-2</v>
      </c>
      <c r="T9" s="3">
        <f>E9/(1-S9)-E9</f>
        <v>3199.4935208326788</v>
      </c>
      <c r="U9" s="3">
        <f>0.6353*(EXP(-0.2)-1)/(EXP(-0.73)-1)/100</f>
        <v>2.2227822982222407E-3</v>
      </c>
      <c r="V9" s="3">
        <f>-U9*C9*100</f>
        <v>2.2227822982222402E-2</v>
      </c>
      <c r="W9" s="3">
        <f>E9/(1-V9) - E9</f>
        <v>3116.4368533109373</v>
      </c>
    </row>
    <row r="10" spans="1:23" s="14" customFormat="1" ht="15.75" x14ac:dyDescent="0.25">
      <c r="A10" s="12" t="s">
        <v>11</v>
      </c>
      <c r="B10" s="12"/>
      <c r="C10" s="12"/>
      <c r="D10" s="12"/>
      <c r="E10" s="13"/>
      <c r="F10" s="12"/>
      <c r="G10" s="12"/>
      <c r="H10" s="12">
        <f>SUM(H5:H9)/10</f>
        <v>1302.9221929004561</v>
      </c>
      <c r="I10" s="12"/>
      <c r="J10" s="12"/>
      <c r="K10" s="12">
        <f>SUM(K5:K9)/10</f>
        <v>1472.3890818158804</v>
      </c>
      <c r="L10" s="12"/>
      <c r="M10" s="12"/>
      <c r="N10" s="12">
        <f>SUM(N5:N9)/10</f>
        <v>1364.1981844567285</v>
      </c>
      <c r="O10" s="12"/>
      <c r="P10" s="12"/>
      <c r="Q10" s="12">
        <f>SUM(Q5:Q9)/10</f>
        <v>808.30306456140966</v>
      </c>
      <c r="R10" s="12"/>
      <c r="S10" s="12"/>
      <c r="T10" s="12">
        <f>SUM(T5:T9)/10</f>
        <v>871.69184311121933</v>
      </c>
      <c r="U10" s="12"/>
      <c r="V10" s="12"/>
      <c r="W10" s="12">
        <f>SUM(W5:W9)/10</f>
        <v>849.18345912262453</v>
      </c>
    </row>
    <row r="12" spans="1:23" ht="15.75" x14ac:dyDescent="0.25">
      <c r="A12" s="3" t="s">
        <v>15</v>
      </c>
    </row>
    <row r="13" spans="1:23" ht="15.75" x14ac:dyDescent="0.25">
      <c r="A13" s="3" t="s">
        <v>31</v>
      </c>
    </row>
    <row r="14" spans="1:23" ht="15.75" x14ac:dyDescent="0.25">
      <c r="A14" s="3" t="s">
        <v>30</v>
      </c>
    </row>
    <row r="15" spans="1:23" ht="15.75" x14ac:dyDescent="0.25">
      <c r="A15" s="3" t="s">
        <v>32</v>
      </c>
    </row>
    <row r="16" spans="1:23" ht="15.75" x14ac:dyDescent="0.25">
      <c r="A16" s="3" t="s">
        <v>18</v>
      </c>
    </row>
    <row r="17" spans="1:1" ht="15.75" x14ac:dyDescent="0.25">
      <c r="A17" s="3" t="s">
        <v>19</v>
      </c>
    </row>
    <row r="18" spans="1:1" ht="15.75" x14ac:dyDescent="0.25">
      <c r="A18" s="3" t="s">
        <v>21</v>
      </c>
    </row>
    <row r="19" spans="1:1" ht="15.75" x14ac:dyDescent="0.25">
      <c r="A19" s="3" t="s">
        <v>20</v>
      </c>
    </row>
    <row r="20" spans="1:1" ht="15.75" x14ac:dyDescent="0.25">
      <c r="A20" s="3" t="s">
        <v>22</v>
      </c>
    </row>
    <row r="21" spans="1:1" ht="15.75" x14ac:dyDescent="0.25">
      <c r="A21" s="3" t="s">
        <v>23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F39B-424E-44A4-A1B5-33EDF92E4552}">
  <dimension ref="A1:B9"/>
  <sheetViews>
    <sheetView workbookViewId="0">
      <selection activeCell="B1" sqref="B1:B9"/>
    </sheetView>
  </sheetViews>
  <sheetFormatPr defaultRowHeight="15" x14ac:dyDescent="0.25"/>
  <cols>
    <col min="1" max="1" width="18.7109375" customWidth="1"/>
    <col min="2" max="2" width="18.14062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>
        <v>704.5</v>
      </c>
      <c r="B2" s="1">
        <v>0</v>
      </c>
    </row>
    <row r="3" spans="1:2" x14ac:dyDescent="0.25">
      <c r="A3" s="1">
        <v>685.47852</v>
      </c>
      <c r="B3" s="1">
        <v>0</v>
      </c>
    </row>
    <row r="4" spans="1:2" x14ac:dyDescent="0.25">
      <c r="A4" s="1">
        <v>666.97058000000004</v>
      </c>
      <c r="B4" s="1">
        <v>0</v>
      </c>
    </row>
    <row r="5" spans="1:2" x14ac:dyDescent="0.25">
      <c r="A5" s="1">
        <v>648.46265000000005</v>
      </c>
      <c r="B5" s="1">
        <v>9.7969299999999995E-2</v>
      </c>
    </row>
    <row r="6" spans="1:2" x14ac:dyDescent="0.25">
      <c r="A6" s="1">
        <v>629.95470999999998</v>
      </c>
      <c r="B6" s="1">
        <v>7.5181999999999999E-2</v>
      </c>
    </row>
    <row r="7" spans="1:2" x14ac:dyDescent="0.25">
      <c r="A7" s="1">
        <v>611.44677999999999</v>
      </c>
      <c r="B7" s="1">
        <v>9.2316700000000002E-2</v>
      </c>
    </row>
    <row r="8" spans="1:2" x14ac:dyDescent="0.25">
      <c r="A8" s="1">
        <v>592.93884000000003</v>
      </c>
      <c r="B8" s="1">
        <v>8.6448800000000006E-2</v>
      </c>
    </row>
    <row r="9" spans="1:2" x14ac:dyDescent="0.25">
      <c r="A9" s="1">
        <v>574.43091000000004</v>
      </c>
      <c r="B9" s="1">
        <v>0.11170769999999999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va_loss_00_07</vt:lpstr>
      <vt:lpstr>va_loss_2020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gjhe</dc:creator>
  <cp:lastModifiedBy>Guojun He</cp:lastModifiedBy>
  <dcterms:created xsi:type="dcterms:W3CDTF">2015-06-05T18:17:20Z</dcterms:created>
  <dcterms:modified xsi:type="dcterms:W3CDTF">2020-05-27T16:47:51Z</dcterms:modified>
</cp:coreProperties>
</file>